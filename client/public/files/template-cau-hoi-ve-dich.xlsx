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âu hỏi Vòng 4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2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FFFFFF"/>
        <bgColor/>
      </patternFill>
    </fill>
    <fill>
      <patternFill patternType="solid">
        <fgColor rgb="FFFFF200"/>
        <bgColor/>
      </patternFill>
    </fill>
    <fill>
      <patternFill patternType="solid">
        <fgColor rgb="FFFFFFFF"/>
        <bgColor/>
      </patternFill>
    </fill>
    <fill>
      <patternFill patternType="solid">
        <fgColor rgb="FFFFF200"/>
        <bgColor/>
      </patternFill>
    </fill>
    <fill>
      <patternFill patternType="solid">
        <fgColor rgb="FFFFFFFF"/>
        <bgColor/>
      </patternFill>
    </fill>
    <fill>
      <patternFill patternType="solid">
        <fgColor rgb="FF2E75B6"/>
        <bgColor/>
      </patternFill>
    </fill>
    <fill>
      <patternFill patternType="solid">
        <fgColor rgb="FF2E75B6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00"/>
        <bgColor/>
      </patternFill>
    </fill>
    <fill>
      <patternFill patternType="solid">
        <fgColor rgb="FFFCE4D6"/>
        <bgColor/>
      </patternFill>
    </fill>
    <fill>
      <patternFill patternType="solid">
        <fgColor rgb="FFFCE4D6"/>
        <bgColor/>
      </patternFill>
    </fill>
    <fill>
      <patternFill patternType="solid">
        <fgColor rgb="FFFCE4D6"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F4B942"/>
        <bgColor/>
      </patternFill>
    </fill>
    <fill>
      <patternFill patternType="solid">
        <fgColor rgb="FFF4B942"/>
        <bgColor/>
      </patternFill>
    </fill>
    <fill>
      <patternFill patternType="solid">
        <fgColor rgb="FF375623"/>
        <bgColor/>
      </patternFill>
    </fill>
    <fill>
      <patternFill patternType="solid">
        <fgColor rgb="FF375623"/>
        <bgColor/>
      </patternFill>
    </fill>
    <fill>
      <patternFill patternType="solid">
        <fgColor rgb="FF7030A0"/>
        <bgColor/>
      </patternFill>
    </fill>
    <fill>
      <patternFill patternType="solid">
        <fgColor rgb="FF7030A0"/>
        <bgColor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</borders>
  <cellStyleXfs>
    <xf numFmtId="0" fontId="0" fillId="0" borderId="0"/>
  </cellStyleXfs>
  <cellXfs count="2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right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right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left"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center" vertical="center" wrapText="true"/>
    </xf>
    <xf numFmtId="0" fontId="11" fillId="11" borderId="11" xfId="0" applyFont="1" applyFill="1" applyBorder="1" applyAlignment="1">
      <alignment horizontal="center" vertical="center" wrapText="true"/>
    </xf>
    <xf numFmtId="0" fontId="12" fillId="12" borderId="12" xfId="0" applyFont="1" applyFill="1" applyBorder="1" applyAlignment="1">
      <alignment horizontal="center" vertical="center" wrapText="true"/>
    </xf>
    <xf numFmtId="0" fontId="13" fillId="13" borderId="13" xfId="0" applyFont="1" applyFill="1" applyBorder="1" applyAlignment="1">
      <alignment horizontal="center" vertical="center" wrapText="true"/>
    </xf>
    <xf numFmtId="0" fontId="14" fillId="14" borderId="14" xfId="0" applyFont="1" applyFill="1" applyBorder="1" applyAlignment="1">
      <alignment horizontal="left" vertical="center" wrapText="true"/>
    </xf>
    <xf numFmtId="0" fontId="15" fillId="15" borderId="15" xfId="0" applyFont="1" applyFill="1" applyBorder="1" applyAlignment="1">
      <alignment horizontal="center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horizontal="center" vertical="center" wrapText="true"/>
    </xf>
    <xf numFmtId="0" fontId="18" fillId="18" borderId="18" xfId="0" applyFont="1" applyFill="1" applyBorder="1" applyAlignment="1">
      <alignment horizontal="center" vertical="center" wrapText="true"/>
    </xf>
    <xf numFmtId="0" fontId="19" fillId="19" borderId="19" xfId="0" applyFont="1" applyFill="1" applyBorder="1" applyAlignment="1">
      <alignment horizontal="center" vertical="center" wrapText="true"/>
    </xf>
    <xf numFmtId="0" fontId="20" fillId="20" borderId="20" xfId="0" applyFont="1" applyFill="1" applyBorder="1" applyAlignment="1">
      <alignment horizontal="center" vertical="center" wrapText="true"/>
    </xf>
    <xf numFmtId="0" fontId="21" fillId="21" borderId="21" xfId="0" applyFont="1" applyFill="1" applyBorder="1" applyAlignment="1">
      <alignment horizontal="center" vertical="center" wrapText="true"/>
    </xf>
    <xf numFmtId="0" fontId="22" fillId="22" borderId="22" xfId="0" applyFont="1" applyFill="1" applyBorder="1" applyAlignment="1">
      <alignment horizontal="center" vertical="center" wrapText="true"/>
    </xf>
    <xf numFmtId="0" fontId="23" fillId="23" borderId="23" xfId="0" applyFont="1" applyFill="1" applyBorder="1" applyAlignment="1">
      <alignment horizontal="center" vertical="center" wrapText="true"/>
    </xf>
    <xf numFmtId="0" fontId="24" fillId="24" borderId="24" xfId="0" applyFont="1" applyFill="1" applyBorder="1" applyAlignment="1">
      <alignment horizontal="center" vertical="center" wrapText="true"/>
    </xf>
    <xf numFmtId="0" fontId="25" fillId="25" borderId="25" xfId="0" applyFont="1" applyFill="1" applyBorder="1" applyAlignment="1">
      <alignment horizontal="center" vertical="center" wrapText="true"/>
    </xf>
    <xf numFmtId="0" fontId="26" fillId="26" borderId="2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cols>
    <col min="1" max="1" width="14.83203125" customWidth="1"/>
    <col min="2" max="2" width="28.83203125" customWidth="1"/>
    <col min="3" max="3" width="7.83203125" customWidth="1"/>
    <col min="4" max="4" width="65.83203125" customWidth="1"/>
    <col min="5" max="5" width="35.83203125" customWidth="1"/>
  </cols>
  <sheetData>
    <row r="1" ht="36" customHeight="1">
      <c r="A1" s="3" t="str">
        <v>VÒNG 4 — VỀ ĐÍCH  |  4 đội × 3 gói × 4 câu = 48 câu  |  SỬA TÊN ĐỘI Ở BẢNG VÀNG BÊN DƯỚI (4 ô) — Chỉ nhập CÂU HỎI &amp; ĐÁP ÁN</v>
      </c>
      <c r="B1" s="4" t="str">
        <v/>
      </c>
      <c r="C1" s="4" t="str">
        <v/>
      </c>
      <c r="D1" s="4" t="str">
        <v/>
      </c>
      <c r="E1" s="4" t="str">
        <v/>
      </c>
    </row>
    <row r="2" ht="24" customHeight="1">
      <c r="A2" s="4" t="str">
        <v>①  ĐIỀN 4 TÊN ĐỘI THI VÒNG 4 VÀO 4 Ô VÀNG (thay angle/news/kop/pol) — cả sheet tự cập nhật</v>
      </c>
      <c r="B2" s="4" t="str">
        <v/>
      </c>
      <c r="C2" s="4" t="str">
        <v/>
      </c>
      <c r="D2" s="4" t="str">
        <v/>
      </c>
      <c r="E2" s="4" t="str">
        <v/>
      </c>
    </row>
    <row r="3" ht="22" customHeight="1">
      <c r="A3" s="5" t="str">
        <v>Đội thi 1</v>
      </c>
      <c r="B3" s="6" t="str">
        <v>angle</v>
      </c>
      <c r="C3" s="7" t="str">
        <v>Đội thi 2</v>
      </c>
      <c r="D3" s="8" t="str">
        <v>news</v>
      </c>
      <c r="E3" s="9" t="str">
        <v/>
      </c>
    </row>
    <row r="4" ht="22" customHeight="1">
      <c r="A4" s="7" t="str">
        <v>Đội thi 3</v>
      </c>
      <c r="B4" s="8" t="str">
        <v>kop</v>
      </c>
      <c r="C4" s="7" t="str">
        <v>Đội thi 4</v>
      </c>
      <c r="D4" s="8" t="str">
        <v>pol</v>
      </c>
      <c r="E4" s="9" t="str">
        <v/>
      </c>
    </row>
    <row r="5" ht="28" customHeight="1">
      <c r="A5" s="4" t="str">
        <v>ĐỘI</v>
      </c>
      <c r="B5" s="4" t="str">
        <v>GÓI</v>
      </c>
      <c r="C5" s="4" t="str">
        <v>ĐIỂM</v>
      </c>
      <c r="D5" s="4" t="str">
        <v>CÂU HỎI  ✎ (nhập tại đây)</v>
      </c>
      <c r="E5" s="4" t="str">
        <v>ĐÁP ÁN  ✎ (nhập tại đây)</v>
      </c>
    </row>
    <row r="6" ht="24" customHeight="1">
      <c r="A6" s="10" t="str">
        <f>$B$3 &amp; " — 3 gói × 4 câu = 12 câu"</f>
        <v>angle — 3 gói × 4 câu = 12 câu</v>
      </c>
      <c r="B6" s="11" t="str">
        <v/>
      </c>
      <c r="C6" s="11" t="str">
        <v/>
      </c>
      <c r="D6" s="11" t="str">
        <v/>
      </c>
      <c r="E6" s="11" t="str">
        <v/>
      </c>
    </row>
    <row r="7" ht="24" customHeight="1">
      <c r="A7" s="12" t="str">
        <v>GÓI 60</v>
      </c>
      <c r="B7" s="13" t="str">
        <v>Cấu trúc: 10 → 10 → 20 → 20</v>
      </c>
      <c r="C7" s="13" t="str">
        <v>ĐIỂM</v>
      </c>
      <c r="D7" s="13" t="str">
        <v>CÂU HỎI</v>
      </c>
      <c r="E7" s="13" t="str">
        <v>ĐÁP ÁN</v>
      </c>
    </row>
    <row r="8" ht="28" customHeight="1">
      <c r="A8" s="14" t="str">
        <f>$B$3</f>
        <v>angle</v>
      </c>
      <c r="B8" s="14">
        <v>60</v>
      </c>
      <c r="C8" s="14">
        <v>10</v>
      </c>
      <c r="D8" s="15" t="str">
        <v/>
      </c>
      <c r="E8" s="15" t="str">
        <v/>
      </c>
    </row>
    <row r="9" ht="28" customHeight="1">
      <c r="A9" s="14" t="str">
        <f>$B$3</f>
        <v>angle</v>
      </c>
      <c r="B9" s="14">
        <v>60</v>
      </c>
      <c r="C9" s="14">
        <v>10</v>
      </c>
      <c r="D9" s="15" t="str">
        <v/>
      </c>
      <c r="E9" s="15" t="str">
        <v/>
      </c>
    </row>
    <row r="10" ht="28" customHeight="1">
      <c r="A10" s="14" t="str">
        <f>$B$3</f>
        <v>angle</v>
      </c>
      <c r="B10" s="14">
        <v>60</v>
      </c>
      <c r="C10" s="14">
        <v>20</v>
      </c>
      <c r="D10" s="15" t="str">
        <v/>
      </c>
      <c r="E10" s="15" t="str">
        <v/>
      </c>
    </row>
    <row r="11" ht="28" customHeight="1">
      <c r="A11" s="14" t="str">
        <f>$B$3</f>
        <v>angle</v>
      </c>
      <c r="B11" s="14">
        <v>60</v>
      </c>
      <c r="C11" s="14">
        <v>20</v>
      </c>
      <c r="D11" s="15" t="str">
        <v/>
      </c>
      <c r="E11" s="15" t="str">
        <v/>
      </c>
    </row>
    <row r="12" ht="24" customHeight="1">
      <c r="A12" s="16" t="str">
        <v>GÓI 80</v>
      </c>
      <c r="B12" s="17" t="str">
        <v>Cấu trúc: 10 → 20 → 20 → 30</v>
      </c>
      <c r="C12" s="17" t="str">
        <v>ĐIỂM</v>
      </c>
      <c r="D12" s="17" t="str">
        <v>CÂU HỎI</v>
      </c>
      <c r="E12" s="17" t="str">
        <v>ĐÁP ÁN</v>
      </c>
    </row>
    <row r="13" ht="28" customHeight="1">
      <c r="A13" s="18" t="str">
        <f>$B$3</f>
        <v>angle</v>
      </c>
      <c r="B13" s="18">
        <v>80</v>
      </c>
      <c r="C13" s="18">
        <v>10</v>
      </c>
      <c r="D13" s="15" t="str">
        <v/>
      </c>
      <c r="E13" s="15" t="str">
        <v/>
      </c>
    </row>
    <row r="14" ht="28" customHeight="1">
      <c r="A14" s="18" t="str">
        <f>$B$3</f>
        <v>angle</v>
      </c>
      <c r="B14" s="18">
        <v>80</v>
      </c>
      <c r="C14" s="18">
        <v>20</v>
      </c>
      <c r="D14" s="15" t="str">
        <v/>
      </c>
      <c r="E14" s="15" t="str">
        <v/>
      </c>
    </row>
    <row r="15" ht="28" customHeight="1">
      <c r="A15" s="18" t="str">
        <f>$B$3</f>
        <v>angle</v>
      </c>
      <c r="B15" s="18">
        <v>80</v>
      </c>
      <c r="C15" s="18">
        <v>20</v>
      </c>
      <c r="D15" s="15" t="str">
        <v/>
      </c>
      <c r="E15" s="15" t="str">
        <v/>
      </c>
    </row>
    <row r="16" ht="28" customHeight="1">
      <c r="A16" s="18" t="str">
        <f>$B$3</f>
        <v>angle</v>
      </c>
      <c r="B16" s="18">
        <v>80</v>
      </c>
      <c r="C16" s="18">
        <v>30</v>
      </c>
      <c r="D16" s="15" t="str">
        <v/>
      </c>
      <c r="E16" s="15" t="str">
        <v/>
      </c>
    </row>
    <row r="17" ht="24" customHeight="1">
      <c r="A17" s="19" t="str">
        <v>GÓI 100</v>
      </c>
      <c r="B17" s="20" t="str">
        <v>Cấu trúc: 20 → 20 → 30 → 30</v>
      </c>
      <c r="C17" s="20" t="str">
        <v>ĐIỂM</v>
      </c>
      <c r="D17" s="20" t="str">
        <v>CÂU HỎI</v>
      </c>
      <c r="E17" s="20" t="str">
        <v>ĐÁP ÁN</v>
      </c>
    </row>
    <row r="18" ht="28" customHeight="1">
      <c r="A18" s="21" t="str">
        <f>$B$3</f>
        <v>angle</v>
      </c>
      <c r="B18" s="21">
        <v>100</v>
      </c>
      <c r="C18" s="21">
        <v>20</v>
      </c>
      <c r="D18" s="15" t="str">
        <v/>
      </c>
      <c r="E18" s="15" t="str">
        <v/>
      </c>
    </row>
    <row r="19" ht="28" customHeight="1">
      <c r="A19" s="21" t="str">
        <f>$B$3</f>
        <v>angle</v>
      </c>
      <c r="B19" s="21">
        <v>100</v>
      </c>
      <c r="C19" s="21">
        <v>20</v>
      </c>
      <c r="D19" s="15" t="str">
        <v/>
      </c>
      <c r="E19" s="15" t="str">
        <v/>
      </c>
    </row>
    <row r="20" ht="28" customHeight="1">
      <c r="A20" s="21" t="str">
        <f>$B$3</f>
        <v>angle</v>
      </c>
      <c r="B20" s="21">
        <v>100</v>
      </c>
      <c r="C20" s="21">
        <v>30</v>
      </c>
      <c r="D20" s="15" t="str">
        <v/>
      </c>
      <c r="E20" s="15" t="str">
        <v/>
      </c>
    </row>
    <row r="21" ht="28" customHeight="1">
      <c r="A21" s="21" t="str">
        <f>$B$3</f>
        <v>angle</v>
      </c>
      <c r="B21" s="21">
        <v>100</v>
      </c>
      <c r="C21" s="21">
        <v>30</v>
      </c>
      <c r="D21" s="15" t="str">
        <v/>
      </c>
      <c r="E21" s="15" t="str">
        <v/>
      </c>
    </row>
    <row r="22" ht="24" customHeight="1">
      <c r="A22" s="22" t="str">
        <f>$D$3 &amp; " — 3 gói × 4 câu = 12 câu"</f>
        <v>news — 3 gói × 4 câu = 12 câu</v>
      </c>
      <c r="B22" s="23" t="str">
        <v/>
      </c>
      <c r="C22" s="23" t="str">
        <v/>
      </c>
      <c r="D22" s="23" t="str">
        <v/>
      </c>
      <c r="E22" s="23" t="str">
        <v/>
      </c>
    </row>
    <row r="23" ht="24" customHeight="1">
      <c r="A23" s="13" t="str">
        <v>GÓI 60</v>
      </c>
      <c r="B23" s="13" t="str">
        <v>Cấu trúc: 10 → 10 → 20 → 20</v>
      </c>
      <c r="C23" s="13" t="str">
        <v>ĐIỂM</v>
      </c>
      <c r="D23" s="13" t="str">
        <v>CÂU HỎI</v>
      </c>
      <c r="E23" s="13" t="str">
        <v>ĐÁP ÁN</v>
      </c>
    </row>
    <row r="24" ht="28" customHeight="1">
      <c r="A24" s="14" t="str">
        <f>$D$3</f>
        <v>news</v>
      </c>
      <c r="B24" s="14">
        <v>60</v>
      </c>
      <c r="C24" s="14">
        <v>10</v>
      </c>
      <c r="D24" s="15" t="str">
        <v/>
      </c>
      <c r="E24" s="15" t="str">
        <v/>
      </c>
    </row>
    <row r="25" ht="28" customHeight="1">
      <c r="A25" s="14" t="str">
        <f>$D$3</f>
        <v>news</v>
      </c>
      <c r="B25" s="14">
        <v>60</v>
      </c>
      <c r="C25" s="14">
        <v>10</v>
      </c>
      <c r="D25" s="15" t="str">
        <v/>
      </c>
      <c r="E25" s="15" t="str">
        <v/>
      </c>
    </row>
    <row r="26" ht="28" customHeight="1">
      <c r="A26" s="14" t="str">
        <f>$D$3</f>
        <v>news</v>
      </c>
      <c r="B26" s="14">
        <v>60</v>
      </c>
      <c r="C26" s="14">
        <v>20</v>
      </c>
      <c r="D26" s="15" t="str">
        <v/>
      </c>
      <c r="E26" s="15" t="str">
        <v/>
      </c>
    </row>
    <row r="27" ht="28" customHeight="1">
      <c r="A27" s="14" t="str">
        <f>$D$3</f>
        <v>news</v>
      </c>
      <c r="B27" s="14">
        <v>60</v>
      </c>
      <c r="C27" s="14">
        <v>20</v>
      </c>
      <c r="D27" s="15" t="str">
        <v/>
      </c>
      <c r="E27" s="15" t="str">
        <v/>
      </c>
    </row>
    <row r="28" ht="24" customHeight="1">
      <c r="A28" s="17" t="str">
        <v>GÓI 80</v>
      </c>
      <c r="B28" s="17" t="str">
        <v>Cấu trúc: 10 → 20 → 20 → 30</v>
      </c>
      <c r="C28" s="17" t="str">
        <v>ĐIỂM</v>
      </c>
      <c r="D28" s="17" t="str">
        <v>CÂU HỎI</v>
      </c>
      <c r="E28" s="17" t="str">
        <v>ĐÁP ÁN</v>
      </c>
    </row>
    <row r="29" ht="28" customHeight="1">
      <c r="A29" s="18" t="str">
        <f>$D$3</f>
        <v>news</v>
      </c>
      <c r="B29" s="18">
        <v>80</v>
      </c>
      <c r="C29" s="18">
        <v>10</v>
      </c>
      <c r="D29" s="15" t="str">
        <v/>
      </c>
      <c r="E29" s="15" t="str">
        <v/>
      </c>
    </row>
    <row r="30" ht="28" customHeight="1">
      <c r="A30" s="18" t="str">
        <f>$D$3</f>
        <v>news</v>
      </c>
      <c r="B30" s="18">
        <v>80</v>
      </c>
      <c r="C30" s="18">
        <v>20</v>
      </c>
      <c r="D30" s="15" t="str">
        <v/>
      </c>
      <c r="E30" s="15" t="str">
        <v/>
      </c>
    </row>
    <row r="31" ht="28" customHeight="1">
      <c r="A31" s="18" t="str">
        <f>$D$3</f>
        <v>news</v>
      </c>
      <c r="B31" s="18">
        <v>80</v>
      </c>
      <c r="C31" s="18">
        <v>20</v>
      </c>
      <c r="D31" s="15" t="str">
        <v/>
      </c>
      <c r="E31" s="15" t="str">
        <v/>
      </c>
    </row>
    <row r="32" ht="28" customHeight="1">
      <c r="A32" s="18" t="str">
        <f>$D$3</f>
        <v>news</v>
      </c>
      <c r="B32" s="18">
        <v>80</v>
      </c>
      <c r="C32" s="18">
        <v>30</v>
      </c>
      <c r="D32" s="15" t="str">
        <v/>
      </c>
      <c r="E32" s="15" t="str">
        <v/>
      </c>
    </row>
    <row r="33" ht="24" customHeight="1">
      <c r="A33" s="20" t="str">
        <v>GÓI 100</v>
      </c>
      <c r="B33" s="20" t="str">
        <v>Cấu trúc: 20 → 20 → 30 → 30</v>
      </c>
      <c r="C33" s="20" t="str">
        <v>ĐIỂM</v>
      </c>
      <c r="D33" s="20" t="str">
        <v>CÂU HỎI</v>
      </c>
      <c r="E33" s="20" t="str">
        <v>ĐÁP ÁN</v>
      </c>
    </row>
    <row r="34" ht="28" customHeight="1">
      <c r="A34" s="21" t="str">
        <f>$D$3</f>
        <v>news</v>
      </c>
      <c r="B34" s="21">
        <v>100</v>
      </c>
      <c r="C34" s="21">
        <v>20</v>
      </c>
      <c r="D34" s="15" t="str">
        <v/>
      </c>
      <c r="E34" s="15" t="str">
        <v/>
      </c>
    </row>
    <row r="35" ht="28" customHeight="1">
      <c r="A35" s="21" t="str">
        <f>$D$3</f>
        <v>news</v>
      </c>
      <c r="B35" s="21">
        <v>100</v>
      </c>
      <c r="C35" s="21">
        <v>20</v>
      </c>
      <c r="D35" s="15" t="str">
        <v/>
      </c>
      <c r="E35" s="15" t="str">
        <v/>
      </c>
    </row>
    <row r="36" ht="28" customHeight="1">
      <c r="A36" s="21" t="str">
        <f>$D$3</f>
        <v>news</v>
      </c>
      <c r="B36" s="21">
        <v>100</v>
      </c>
      <c r="C36" s="21">
        <v>30</v>
      </c>
      <c r="D36" s="15" t="str">
        <v/>
      </c>
      <c r="E36" s="15" t="str">
        <v/>
      </c>
    </row>
    <row r="37" ht="28" customHeight="1">
      <c r="A37" s="21" t="str">
        <f>$D$3</f>
        <v>news</v>
      </c>
      <c r="B37" s="21">
        <v>100</v>
      </c>
      <c r="C37" s="21">
        <v>30</v>
      </c>
      <c r="D37" s="15" t="str">
        <v/>
      </c>
      <c r="E37" s="15" t="str">
        <v/>
      </c>
    </row>
    <row r="38" ht="24" customHeight="1">
      <c r="A38" s="24" t="str">
        <f>$B$4 &amp; " — 3 gói × 4 câu = 12 câu"</f>
        <v>kop — 3 gói × 4 câu = 12 câu</v>
      </c>
      <c r="B38" s="25" t="str">
        <v/>
      </c>
      <c r="C38" s="25" t="str">
        <v/>
      </c>
      <c r="D38" s="25" t="str">
        <v/>
      </c>
      <c r="E38" s="25" t="str">
        <v/>
      </c>
    </row>
    <row r="39" ht="24" customHeight="1">
      <c r="A39" s="13" t="str">
        <v>GÓI 60</v>
      </c>
      <c r="B39" s="13" t="str">
        <v>Cấu trúc: 10 → 10 → 20 → 20</v>
      </c>
      <c r="C39" s="13" t="str">
        <v>ĐIỂM</v>
      </c>
      <c r="D39" s="13" t="str">
        <v>CÂU HỎI</v>
      </c>
      <c r="E39" s="13" t="str">
        <v>ĐÁP ÁN</v>
      </c>
    </row>
    <row r="40" ht="28" customHeight="1">
      <c r="A40" s="14" t="str">
        <f>$B$4</f>
        <v>kop</v>
      </c>
      <c r="B40" s="14">
        <v>60</v>
      </c>
      <c r="C40" s="14">
        <v>10</v>
      </c>
      <c r="D40" s="15" t="str">
        <v/>
      </c>
      <c r="E40" s="15" t="str">
        <v/>
      </c>
    </row>
    <row r="41" ht="28" customHeight="1">
      <c r="A41" s="14" t="str">
        <f>$B$4</f>
        <v>kop</v>
      </c>
      <c r="B41" s="14">
        <v>60</v>
      </c>
      <c r="C41" s="14">
        <v>10</v>
      </c>
      <c r="D41" s="15" t="str">
        <v/>
      </c>
      <c r="E41" s="15" t="str">
        <v/>
      </c>
    </row>
    <row r="42" ht="28" customHeight="1">
      <c r="A42" s="14" t="str">
        <f>$B$4</f>
        <v>kop</v>
      </c>
      <c r="B42" s="14">
        <v>60</v>
      </c>
      <c r="C42" s="14">
        <v>20</v>
      </c>
      <c r="D42" s="15" t="str">
        <v/>
      </c>
      <c r="E42" s="15" t="str">
        <v/>
      </c>
    </row>
    <row r="43" ht="28" customHeight="1">
      <c r="A43" s="14" t="str">
        <f>$B$4</f>
        <v>kop</v>
      </c>
      <c r="B43" s="14">
        <v>60</v>
      </c>
      <c r="C43" s="14">
        <v>20</v>
      </c>
      <c r="D43" s="15" t="str">
        <v/>
      </c>
      <c r="E43" s="15" t="str">
        <v/>
      </c>
    </row>
    <row r="44" ht="24" customHeight="1">
      <c r="A44" s="17" t="str">
        <v>GÓI 80</v>
      </c>
      <c r="B44" s="17" t="str">
        <v>Cấu trúc: 10 → 20 → 20 → 30</v>
      </c>
      <c r="C44" s="17" t="str">
        <v>ĐIỂM</v>
      </c>
      <c r="D44" s="17" t="str">
        <v>CÂU HỎI</v>
      </c>
      <c r="E44" s="17" t="str">
        <v>ĐÁP ÁN</v>
      </c>
    </row>
    <row r="45" ht="28" customHeight="1">
      <c r="A45" s="18" t="str">
        <f>$B$4</f>
        <v>kop</v>
      </c>
      <c r="B45" s="18">
        <v>80</v>
      </c>
      <c r="C45" s="18">
        <v>10</v>
      </c>
      <c r="D45" s="15" t="str">
        <v/>
      </c>
      <c r="E45" s="15" t="str">
        <v/>
      </c>
    </row>
    <row r="46" ht="28" customHeight="1">
      <c r="A46" s="18" t="str">
        <f>$B$4</f>
        <v>kop</v>
      </c>
      <c r="B46" s="18">
        <v>80</v>
      </c>
      <c r="C46" s="18">
        <v>20</v>
      </c>
      <c r="D46" s="15" t="str">
        <v/>
      </c>
      <c r="E46" s="15" t="str">
        <v/>
      </c>
    </row>
    <row r="47" ht="28" customHeight="1">
      <c r="A47" s="18" t="str">
        <f>$B$4</f>
        <v>kop</v>
      </c>
      <c r="B47" s="18">
        <v>80</v>
      </c>
      <c r="C47" s="18">
        <v>20</v>
      </c>
      <c r="D47" s="15" t="str">
        <v/>
      </c>
      <c r="E47" s="15" t="str">
        <v/>
      </c>
    </row>
    <row r="48" ht="28" customHeight="1">
      <c r="A48" s="18" t="str">
        <f>$B$4</f>
        <v>kop</v>
      </c>
      <c r="B48" s="18">
        <v>80</v>
      </c>
      <c r="C48" s="18">
        <v>30</v>
      </c>
      <c r="D48" s="15" t="str">
        <v/>
      </c>
      <c r="E48" s="15" t="str">
        <v/>
      </c>
    </row>
    <row r="49" ht="24" customHeight="1">
      <c r="A49" s="20" t="str">
        <v>GÓI 100</v>
      </c>
      <c r="B49" s="20" t="str">
        <v>Cấu trúc: 20 → 20 → 30 → 30</v>
      </c>
      <c r="C49" s="20" t="str">
        <v>ĐIỂM</v>
      </c>
      <c r="D49" s="20" t="str">
        <v>CÂU HỎI</v>
      </c>
      <c r="E49" s="20" t="str">
        <v>ĐÁP ÁN</v>
      </c>
    </row>
    <row r="50" ht="28" customHeight="1">
      <c r="A50" s="21" t="str">
        <f>$B$4</f>
        <v>kop</v>
      </c>
      <c r="B50" s="21">
        <v>100</v>
      </c>
      <c r="C50" s="21">
        <v>20</v>
      </c>
      <c r="D50" s="15" t="str">
        <v/>
      </c>
      <c r="E50" s="15" t="str">
        <v/>
      </c>
    </row>
    <row r="51" ht="28" customHeight="1">
      <c r="A51" s="21" t="str">
        <f>$B$4</f>
        <v>kop</v>
      </c>
      <c r="B51" s="21">
        <v>100</v>
      </c>
      <c r="C51" s="21">
        <v>20</v>
      </c>
      <c r="D51" s="15" t="str">
        <v/>
      </c>
      <c r="E51" s="15" t="str">
        <v/>
      </c>
    </row>
    <row r="52" ht="28" customHeight="1">
      <c r="A52" s="21" t="str">
        <f>$B$4</f>
        <v>kop</v>
      </c>
      <c r="B52" s="21">
        <v>100</v>
      </c>
      <c r="C52" s="21">
        <v>30</v>
      </c>
      <c r="D52" s="15" t="str">
        <v/>
      </c>
      <c r="E52" s="15" t="str">
        <v/>
      </c>
    </row>
    <row r="53" ht="28" customHeight="1">
      <c r="A53" s="21" t="str">
        <f>$B$4</f>
        <v>kop</v>
      </c>
      <c r="B53" s="21">
        <v>100</v>
      </c>
      <c r="C53" s="21">
        <v>30</v>
      </c>
      <c r="D53" s="15" t="str">
        <v/>
      </c>
      <c r="E53" s="15" t="str">
        <v/>
      </c>
    </row>
    <row r="54" ht="24" customHeight="1">
      <c r="A54" s="26" t="str">
        <f>$D$4 &amp; " — 3 gói × 4 câu = 12 câu"</f>
        <v>pol — 3 gói × 4 câu = 12 câu</v>
      </c>
      <c r="B54" s="27" t="str">
        <v/>
      </c>
      <c r="C54" s="27" t="str">
        <v/>
      </c>
      <c r="D54" s="27" t="str">
        <v/>
      </c>
      <c r="E54" s="27" t="str">
        <v/>
      </c>
    </row>
    <row r="55" ht="24" customHeight="1">
      <c r="A55" s="13" t="str">
        <v>GÓI 60</v>
      </c>
      <c r="B55" s="13" t="str">
        <v>Cấu trúc: 10 → 10 → 20 → 20</v>
      </c>
      <c r="C55" s="13" t="str">
        <v>ĐIỂM</v>
      </c>
      <c r="D55" s="13" t="str">
        <v>CÂU HỎI</v>
      </c>
      <c r="E55" s="13" t="str">
        <v>ĐÁP ÁN</v>
      </c>
    </row>
    <row r="56" ht="28" customHeight="1">
      <c r="A56" s="14" t="str">
        <f>$D$4</f>
        <v>pol</v>
      </c>
      <c r="B56" s="14">
        <v>60</v>
      </c>
      <c r="C56" s="14">
        <v>10</v>
      </c>
      <c r="D56" s="15" t="str">
        <v/>
      </c>
      <c r="E56" s="15" t="str">
        <v/>
      </c>
    </row>
    <row r="57" ht="28" customHeight="1">
      <c r="A57" s="14" t="str">
        <f>$D$4</f>
        <v>pol</v>
      </c>
      <c r="B57" s="14">
        <v>60</v>
      </c>
      <c r="C57" s="14">
        <v>10</v>
      </c>
      <c r="D57" s="15" t="str">
        <v/>
      </c>
      <c r="E57" s="15" t="str">
        <v/>
      </c>
    </row>
    <row r="58" ht="28" customHeight="1">
      <c r="A58" s="14" t="str">
        <f>$D$4</f>
        <v>pol</v>
      </c>
      <c r="B58" s="14">
        <v>60</v>
      </c>
      <c r="C58" s="14">
        <v>20</v>
      </c>
      <c r="D58" s="15" t="str">
        <v/>
      </c>
      <c r="E58" s="15" t="str">
        <v/>
      </c>
    </row>
    <row r="59" ht="28" customHeight="1">
      <c r="A59" s="14" t="str">
        <f>$D$4</f>
        <v>pol</v>
      </c>
      <c r="B59" s="14">
        <v>60</v>
      </c>
      <c r="C59" s="14">
        <v>20</v>
      </c>
      <c r="D59" s="15" t="str">
        <v/>
      </c>
      <c r="E59" s="15" t="str">
        <v/>
      </c>
    </row>
    <row r="60" ht="24" customHeight="1">
      <c r="A60" s="17" t="str">
        <v>GÓI 80</v>
      </c>
      <c r="B60" s="17" t="str">
        <v>Cấu trúc: 10 → 20 → 20 → 30</v>
      </c>
      <c r="C60" s="17" t="str">
        <v>ĐIỂM</v>
      </c>
      <c r="D60" s="17" t="str">
        <v>CÂU HỎI</v>
      </c>
      <c r="E60" s="17" t="str">
        <v>ĐÁP ÁN</v>
      </c>
    </row>
    <row r="61" ht="28" customHeight="1">
      <c r="A61" s="18" t="str">
        <f>$D$4</f>
        <v>pol</v>
      </c>
      <c r="B61" s="18">
        <v>80</v>
      </c>
      <c r="C61" s="18">
        <v>10</v>
      </c>
      <c r="D61" s="15" t="str">
        <v/>
      </c>
      <c r="E61" s="15" t="str">
        <v/>
      </c>
    </row>
    <row r="62" ht="28" customHeight="1">
      <c r="A62" s="18" t="str">
        <f>$D$4</f>
        <v>pol</v>
      </c>
      <c r="B62" s="18">
        <v>80</v>
      </c>
      <c r="C62" s="18">
        <v>20</v>
      </c>
      <c r="D62" s="15" t="str">
        <v/>
      </c>
      <c r="E62" s="15" t="str">
        <v/>
      </c>
    </row>
    <row r="63" ht="28" customHeight="1">
      <c r="A63" s="18" t="str">
        <f>$D$4</f>
        <v>pol</v>
      </c>
      <c r="B63" s="18">
        <v>80</v>
      </c>
      <c r="C63" s="18">
        <v>20</v>
      </c>
      <c r="D63" s="15" t="str">
        <v/>
      </c>
      <c r="E63" s="15" t="str">
        <v/>
      </c>
    </row>
    <row r="64" ht="28" customHeight="1">
      <c r="A64" s="18" t="str">
        <f>$D$4</f>
        <v>pol</v>
      </c>
      <c r="B64" s="18">
        <v>80</v>
      </c>
      <c r="C64" s="18">
        <v>30</v>
      </c>
      <c r="D64" s="15" t="str">
        <v/>
      </c>
      <c r="E64" s="15" t="str">
        <v/>
      </c>
    </row>
    <row r="65" ht="24" customHeight="1">
      <c r="A65" s="20" t="str">
        <v>GÓI 100</v>
      </c>
      <c r="B65" s="20" t="str">
        <v>Cấu trúc: 20 → 20 → 30 → 30</v>
      </c>
      <c r="C65" s="20" t="str">
        <v>ĐIỂM</v>
      </c>
      <c r="D65" s="20" t="str">
        <v>CÂU HỎI</v>
      </c>
      <c r="E65" s="20" t="str">
        <v>ĐÁP ÁN</v>
      </c>
    </row>
    <row r="66" ht="28" customHeight="1">
      <c r="A66" s="21" t="str">
        <f>$D$4</f>
        <v>pol</v>
      </c>
      <c r="B66" s="21">
        <v>100</v>
      </c>
      <c r="C66" s="21">
        <v>20</v>
      </c>
      <c r="D66" s="15" t="str">
        <v/>
      </c>
      <c r="E66" s="15" t="str">
        <v/>
      </c>
    </row>
    <row r="67" ht="28" customHeight="1">
      <c r="A67" s="21" t="str">
        <f>$D$4</f>
        <v>pol</v>
      </c>
      <c r="B67" s="21">
        <v>100</v>
      </c>
      <c r="C67" s="21">
        <v>20</v>
      </c>
      <c r="D67" s="15" t="str">
        <v/>
      </c>
      <c r="E67" s="15" t="str">
        <v/>
      </c>
    </row>
    <row r="68" ht="28" customHeight="1">
      <c r="A68" s="21" t="str">
        <f>$D$4</f>
        <v>pol</v>
      </c>
      <c r="B68" s="21">
        <v>100</v>
      </c>
      <c r="C68" s="21">
        <v>30</v>
      </c>
      <c r="D68" s="15" t="str">
        <v/>
      </c>
      <c r="E68" s="15" t="str">
        <v/>
      </c>
    </row>
    <row r="69" ht="28" customHeight="1">
      <c r="A69" s="21" t="str">
        <f>$D$4</f>
        <v>pol</v>
      </c>
      <c r="B69" s="21">
        <v>100</v>
      </c>
      <c r="C69" s="21">
        <v>30</v>
      </c>
      <c r="D69" s="15" t="str">
        <v/>
      </c>
      <c r="E69" s="15" t="str">
        <v/>
      </c>
    </row>
  </sheetData>
  <mergeCells count="18">
    <mergeCell ref="A1:E1"/>
    <mergeCell ref="A2:E2"/>
    <mergeCell ref="A6:E6"/>
    <mergeCell ref="A7:E7"/>
    <mergeCell ref="A12:E12"/>
    <mergeCell ref="A17:E17"/>
    <mergeCell ref="A22:E22"/>
    <mergeCell ref="A23:E23"/>
    <mergeCell ref="A28:E28"/>
    <mergeCell ref="A33:E33"/>
    <mergeCell ref="A38:E38"/>
    <mergeCell ref="A39:E39"/>
    <mergeCell ref="A44:E44"/>
    <mergeCell ref="A49:E49"/>
    <mergeCell ref="A54:E54"/>
    <mergeCell ref="A55:E55"/>
    <mergeCell ref="A60:E60"/>
    <mergeCell ref="A65:E65"/>
  </mergeCells>
  <ignoredErrors>
    <ignoredError numberStoredAsText="1" sqref="A1:E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12.83203125" customWidth="1"/>
    <col min="2" max="2" width="70.83203125" customWidth="1"/>
    <col min="3" max="3" width="25.83203125" customWidth="1"/>
  </cols>
  <sheetData>
    <row r="1">
      <c r="A1" s="2" t="str">
        <v>HƯỚNG DẪN SỬ DỤNG TEMPLATE VÒNG 4 — VỀ ĐÍCH</v>
      </c>
      <c r="B1" s="2" t="str">
        <v/>
      </c>
      <c r="C1" s="2" t="str">
        <v/>
      </c>
    </row>
    <row r="2">
      <c r="A2" s="2" t="str">
        <v/>
      </c>
      <c r="B2" s="2" t="str">
        <v/>
      </c>
      <c r="C2" s="2" t="str">
        <v/>
      </c>
    </row>
    <row r="3">
      <c r="A3" s="2" t="str">
        <v>TỔNG QUAN</v>
      </c>
      <c r="B3" s="2" t="str">
        <v/>
      </c>
      <c r="C3" s="2" t="str">
        <v/>
      </c>
    </row>
    <row r="4">
      <c r="A4" s="2" t="str">
        <v>4 đội × 3 gói × 4 câu = 48 dòng</v>
      </c>
      <c r="B4" s="2" t="str">
        <v/>
      </c>
      <c r="C4" s="2" t="str">
        <v/>
      </c>
    </row>
    <row r="5">
      <c r="A5" s="2" t="str">
        <v>Mỗi đội có đủ: Gói 60 (4 câu) + Gói 80 (4 câu) + Gói 100 (4 câu)</v>
      </c>
      <c r="B5" s="2" t="str">
        <v/>
      </c>
      <c r="C5" s="2" t="str">
        <v/>
      </c>
    </row>
    <row r="6">
      <c r="A6" s="2" t="str">
        <v/>
      </c>
      <c r="B6" s="2" t="str">
        <v/>
      </c>
      <c r="C6" s="2" t="str">
        <v/>
      </c>
    </row>
    <row r="7">
      <c r="A7" s="2" t="str">
        <v>BƯỚC 0 — ĐỔI TÊN 4 ĐỘI (QUAN TRỌNG)</v>
      </c>
      <c r="B7" s="2" t="str">
        <v/>
      </c>
      <c r="C7" s="2" t="str">
        <v/>
      </c>
    </row>
    <row r="8">
      <c r="A8" s="2" t="str">
        <v>•</v>
      </c>
      <c r="B8" s="2" t="str">
        <v>Chọn được 4/6 đội vào Vòng 4 rồi?</v>
      </c>
    </row>
    <row r="9">
      <c r="A9" s="2" t="str">
        <v>•</v>
      </c>
      <c r="B9" s="2" t="str">
        <v>Mở sheet 'Câu hỏi Vòng 4', sửa TÊN 4 ĐỘI ngay dòng 3-4 (4 ô vàng) — MỘT NƠI DUY NHẤT</v>
      </c>
    </row>
    <row r="10">
      <c r="A10" s="2" t="str">
        <v>•</v>
      </c>
      <c r="B10" s="2" t="str">
        <v>Cả sheet (cột ĐỘI 48 dòng + dòng tiêu đề) tự cập nhật theo — không cần sửa đâu khác</v>
      </c>
    </row>
    <row r="11">
      <c r="A11" s="2" t="str">
        <v/>
      </c>
      <c r="B11" s="2" t="str">
        <v/>
      </c>
      <c r="C11" s="2" t="str">
        <v/>
      </c>
    </row>
    <row r="12">
      <c r="A12" s="2" t="str">
        <v>CÁCH NHẬP</v>
      </c>
      <c r="B12" s="2" t="str">
        <v/>
      </c>
      <c r="C12" s="2" t="str">
        <v/>
      </c>
    </row>
    <row r="13">
      <c r="A13" s="2" t="str">
        <v>Bước 1</v>
      </c>
      <c r="B13" s="2" t="str">
        <v>Nhập Câu hỏi + Đáp án vào 2 ô vàng trong mỗi dòng</v>
      </c>
    </row>
    <row r="14">
      <c r="A14" s="2" t="str">
        <v>Bước 2</v>
      </c>
      <c r="B14" s="2" t="str">
        <v>Lưu file Excel (.xlsx)</v>
      </c>
    </row>
    <row r="15">
      <c r="A15" s="2" t="str">
        <v>Bước 3</v>
      </c>
      <c r="B15" s="2" t="str">
        <v>Quản trị → Câu hỏi → Về đích → Nhập Excel/CSV → chọn file</v>
      </c>
    </row>
    <row r="16">
      <c r="A16" s="2" t="str">
        <v>Bước 4</v>
      </c>
      <c r="B16" s="2" t="str">
        <v>Kiểm tra tình trạng gói (✓/✗) → Lưu vòng chính</v>
      </c>
    </row>
    <row r="17">
      <c r="A17" s="2" t="str">
        <v/>
      </c>
      <c r="B17" s="2" t="str">
        <v/>
      </c>
      <c r="C17" s="2" t="str">
        <v/>
      </c>
    </row>
    <row r="18">
      <c r="A18" s="2" t="str">
        <v>CẤU TRÚC MỖI GÓI</v>
      </c>
      <c r="B18" s="2" t="str">
        <v/>
      </c>
      <c r="C18" s="2" t="str">
        <v/>
      </c>
    </row>
    <row r="19">
      <c r="A19" s="2" t="str">
        <v>Gói</v>
      </c>
      <c r="B19" s="2" t="str">
        <v>Điểm 4 câu</v>
      </c>
      <c r="C19" s="2" t="str">
        <v>Tổng</v>
      </c>
    </row>
    <row r="20">
      <c r="A20" s="2" t="str">
        <v>60</v>
      </c>
      <c r="B20" s="2" t="str">
        <v>10 → 10 → 20 → 20</v>
      </c>
      <c r="C20" s="2" t="str">
        <v>60</v>
      </c>
    </row>
    <row r="21">
      <c r="A21" s="2" t="str">
        <v>80</v>
      </c>
      <c r="B21" s="2" t="str">
        <v>10 → 20 → 20 → 30</v>
      </c>
      <c r="C21" s="2" t="str">
        <v>80</v>
      </c>
    </row>
    <row r="22">
      <c r="A22" s="2" t="str">
        <v>100</v>
      </c>
      <c r="B22" s="2" t="str">
        <v>20 → 20 → 30 → 30</v>
      </c>
      <c r="C22" s="2" t="str">
        <v>100</v>
      </c>
    </row>
    <row r="23">
      <c r="A23" s="2" t="str">
        <v/>
      </c>
      <c r="B23" s="2" t="str">
        <v/>
      </c>
      <c r="C23" s="2" t="str">
        <v/>
      </c>
    </row>
    <row r="24">
      <c r="A24" s="2" t="str">
        <v>QUY TẮC</v>
      </c>
      <c r="B24" s="2" t="str">
        <v/>
      </c>
      <c r="C24" s="2" t="str">
        <v/>
      </c>
    </row>
    <row r="25">
      <c r="A25" s="2" t="str">
        <v>•</v>
      </c>
      <c r="B25" s="2" t="str">
        <v>Cột ĐỘI / GÓI / ĐIỂM: KHÔNG sửa — đã điền sẵn</v>
      </c>
    </row>
    <row r="26">
      <c r="A26" s="2" t="str">
        <v>•</v>
      </c>
      <c r="B26" s="2" t="str">
        <v>Chỉ nhập vào 2 cột: CÂU HỎI và ĐÁP ÁN (ô vàng)</v>
      </c>
    </row>
    <row r="27">
      <c r="A27" s="2" t="str">
        <v>•</v>
      </c>
      <c r="B27" s="2" t="str">
        <v>Tên đội phải trùng ĐÚNG tên đội trong hệ thống (không dấu, không thêm 'Đội')</v>
      </c>
    </row>
    <row r="28">
      <c r="A28" s="2" t="str">
        <v>•</v>
      </c>
      <c r="B28" s="2" t="str">
        <v>Gói: 60, 80, 100</v>
      </c>
    </row>
    <row r="29">
      <c r="A29" s="2" t="str">
        <v>•</v>
      </c>
      <c r="B29" s="2" t="str">
        <v>Điểm: 10, 20, 30 (đúng theo cấu trúc gói)</v>
      </c>
    </row>
    <row r="30">
      <c r="A30" s="2" t="str">
        <v/>
      </c>
      <c r="B30" s="2" t="str">
        <v/>
      </c>
      <c r="C30" s="2" t="str">
        <v/>
      </c>
    </row>
    <row r="31">
      <c r="A31" s="2" t="str">
        <v>KHI THI</v>
      </c>
      <c r="B31" s="2" t="str">
        <v/>
      </c>
      <c r="C31" s="2" t="str">
        <v/>
      </c>
    </row>
    <row r="32">
      <c r="A32" s="2" t="str">
        <v>•</v>
      </c>
      <c r="B32" s="2" t="str">
        <v>MC chọn gói cho đội đang thi bằng nút Gói 60đ / 80đ / 100đ</v>
      </c>
    </row>
    <row r="33">
      <c r="A33" s="2" t="str">
        <v>•</v>
      </c>
      <c r="B33" s="2" t="str">
        <v>Hệ thống tự lấy 4 câu đã nhập cho (đội × gói)</v>
      </c>
    </row>
    <row r="34">
      <c r="A34" s="2" t="str">
        <v>•</v>
      </c>
      <c r="B34" s="2" t="str">
        <v>Admin không cần biết trước đội nào chọn gói nào</v>
      </c>
    </row>
  </sheetData>
  <mergeCells count="1">
    <mergeCell ref="A1:C1"/>
  </mergeCells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Câu hỏi Vòng 4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